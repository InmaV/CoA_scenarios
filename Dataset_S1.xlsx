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mav/Desktop/Inma/IDIBAPS/CoA_paper/"/>
    </mc:Choice>
  </mc:AlternateContent>
  <xr:revisionPtr revIDLastSave="0" documentId="13_ncr:1_{4C45A266-5C1C-EC4A-8DAB-DC33C58AC9E6}" xr6:coauthVersionLast="47" xr6:coauthVersionMax="47" xr10:uidLastSave="{00000000-0000-0000-0000-000000000000}"/>
  <bookViews>
    <workbookView xWindow="38040" yWindow="760" windowWidth="34560" windowHeight="19840" activeTab="1" xr2:uid="{00000000-000D-0000-FFFF-FFFF00000000}"/>
  </bookViews>
  <sheets>
    <sheet name="Healthy" sheetId="7" r:id="rId1"/>
    <sheet name="Co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5" l="1"/>
  <c r="R13" i="5"/>
  <c r="Q13" i="5"/>
  <c r="P13" i="5"/>
  <c r="S12" i="5"/>
  <c r="R12" i="5"/>
  <c r="Q12" i="5"/>
  <c r="P12" i="5"/>
  <c r="M10" i="5"/>
  <c r="O10" i="5" s="1"/>
  <c r="L10" i="5"/>
  <c r="N10" i="5" s="1"/>
  <c r="M9" i="5"/>
  <c r="O9" i="5" s="1"/>
  <c r="L9" i="5"/>
  <c r="N9" i="5" s="1"/>
  <c r="M8" i="5"/>
  <c r="O8" i="5" s="1"/>
  <c r="L8" i="5"/>
  <c r="N8" i="5" s="1"/>
  <c r="M7" i="5"/>
  <c r="O7" i="5" s="1"/>
  <c r="L7" i="5"/>
  <c r="N7" i="5" s="1"/>
  <c r="M6" i="5"/>
  <c r="O6" i="5" s="1"/>
  <c r="L6" i="5"/>
  <c r="N6" i="5" s="1"/>
  <c r="M5" i="5"/>
  <c r="O5" i="5" s="1"/>
  <c r="L5" i="5"/>
  <c r="N5" i="5" s="1"/>
  <c r="M4" i="5"/>
  <c r="O4" i="5" s="1"/>
  <c r="L4" i="5"/>
  <c r="N4" i="5" s="1"/>
  <c r="M3" i="5"/>
  <c r="O3" i="5" s="1"/>
  <c r="L3" i="5"/>
  <c r="N3" i="5" s="1"/>
  <c r="M2" i="5"/>
  <c r="O2" i="5" s="1"/>
  <c r="L2" i="5"/>
  <c r="N2" i="5" s="1"/>
  <c r="G13" i="5"/>
  <c r="F13" i="5"/>
  <c r="G12" i="5"/>
  <c r="F12" i="5"/>
  <c r="J10" i="5"/>
  <c r="E10" i="5"/>
  <c r="I10" i="5" s="1"/>
  <c r="D10" i="5"/>
  <c r="H10" i="5" s="1"/>
  <c r="J9" i="5"/>
  <c r="K9" i="5" s="1"/>
  <c r="E9" i="5"/>
  <c r="I9" i="5" s="1"/>
  <c r="D9" i="5"/>
  <c r="H9" i="5" s="1"/>
  <c r="J8" i="5"/>
  <c r="K8" i="5" s="1"/>
  <c r="E8" i="5"/>
  <c r="I8" i="5" s="1"/>
  <c r="D8" i="5"/>
  <c r="H8" i="5" s="1"/>
  <c r="J7" i="5"/>
  <c r="K7" i="5" s="1"/>
  <c r="E7" i="5"/>
  <c r="D7" i="5"/>
  <c r="H7" i="5" s="1"/>
  <c r="J6" i="5"/>
  <c r="K6" i="5" s="1"/>
  <c r="E6" i="5"/>
  <c r="I6" i="5" s="1"/>
  <c r="D6" i="5"/>
  <c r="H6" i="5" s="1"/>
  <c r="J5" i="5"/>
  <c r="K5" i="5" s="1"/>
  <c r="E5" i="5"/>
  <c r="I5" i="5" s="1"/>
  <c r="D5" i="5"/>
  <c r="H5" i="5" s="1"/>
  <c r="J4" i="5"/>
  <c r="K4" i="5" s="1"/>
  <c r="E4" i="5"/>
  <c r="I4" i="5" s="1"/>
  <c r="D4" i="5"/>
  <c r="H4" i="5" s="1"/>
  <c r="J3" i="5"/>
  <c r="K3" i="5" s="1"/>
  <c r="E3" i="5"/>
  <c r="I3" i="5" s="1"/>
  <c r="D3" i="5"/>
  <c r="H3" i="5" s="1"/>
  <c r="J2" i="5"/>
  <c r="K2" i="5" s="1"/>
  <c r="E2" i="5"/>
  <c r="I2" i="5" s="1"/>
  <c r="D2" i="5"/>
  <c r="H2" i="5" s="1"/>
  <c r="T8" i="7"/>
  <c r="U8" i="7" s="1"/>
  <c r="T7" i="7"/>
  <c r="U7" i="7" s="1"/>
  <c r="T6" i="7"/>
  <c r="U6" i="7" s="1"/>
  <c r="T5" i="7"/>
  <c r="U5" i="7" s="1"/>
  <c r="T4" i="7"/>
  <c r="U4" i="7" s="1"/>
  <c r="T3" i="7"/>
  <c r="U3" i="7" s="1"/>
  <c r="T2" i="7"/>
  <c r="T10" i="5"/>
  <c r="U10" i="5" s="1"/>
  <c r="T9" i="5"/>
  <c r="U9" i="5" s="1"/>
  <c r="T8" i="5"/>
  <c r="T7" i="5"/>
  <c r="U7" i="5" s="1"/>
  <c r="T6" i="5"/>
  <c r="U6" i="5" s="1"/>
  <c r="T5" i="5"/>
  <c r="U5" i="5" s="1"/>
  <c r="T4" i="5"/>
  <c r="U4" i="5" s="1"/>
  <c r="T3" i="5"/>
  <c r="U3" i="5" s="1"/>
  <c r="T2" i="5"/>
  <c r="C12" i="5"/>
  <c r="C13" i="5"/>
  <c r="B13" i="5"/>
  <c r="C11" i="7"/>
  <c r="C10" i="7"/>
  <c r="B11" i="7"/>
  <c r="B10" i="7"/>
  <c r="B12" i="5"/>
  <c r="T11" i="7" l="1"/>
  <c r="E13" i="5"/>
  <c r="J13" i="5"/>
  <c r="N12" i="5"/>
  <c r="O12" i="5"/>
  <c r="O13" i="5"/>
  <c r="N13" i="5"/>
  <c r="H12" i="5"/>
  <c r="H13" i="5"/>
  <c r="I7" i="5"/>
  <c r="I12" i="5" s="1"/>
  <c r="K10" i="5"/>
  <c r="E12" i="5"/>
  <c r="J12" i="5"/>
  <c r="D12" i="5"/>
  <c r="D13" i="5"/>
  <c r="T12" i="5"/>
  <c r="T13" i="5"/>
  <c r="U8" i="5"/>
  <c r="U2" i="5"/>
  <c r="U2" i="7"/>
  <c r="T10" i="7"/>
  <c r="U10" i="7" l="1"/>
  <c r="U11" i="7"/>
  <c r="I13" i="5"/>
  <c r="K13" i="5"/>
  <c r="K12" i="5"/>
  <c r="U13" i="5"/>
  <c r="U12" i="5"/>
</calcChain>
</file>

<file path=xl/sharedStrings.xml><?xml version="1.0" encoding="utf-8"?>
<sst xmlns="http://schemas.openxmlformats.org/spreadsheetml/2006/main" count="62" uniqueCount="39">
  <si>
    <t>GA</t>
  </si>
  <si>
    <t>EFW</t>
  </si>
  <si>
    <t>Expected iao_d</t>
  </si>
  <si>
    <t>Expected da_d</t>
  </si>
  <si>
    <t>LV/RV ED_Area</t>
  </si>
  <si>
    <t>Mean</t>
  </si>
  <si>
    <t>Std</t>
  </si>
  <si>
    <t>ln_predicted_ist</t>
  </si>
  <si>
    <t>ln_predicted_da</t>
  </si>
  <si>
    <t>z-score_ist</t>
  </si>
  <si>
    <t>z-score_da</t>
  </si>
  <si>
    <t>ID</t>
  </si>
  <si>
    <t>coa_0001</t>
  </si>
  <si>
    <t>coa_0002</t>
  </si>
  <si>
    <t>coa_0003</t>
  </si>
  <si>
    <t>coa_0004</t>
  </si>
  <si>
    <t>coa_0005</t>
  </si>
  <si>
    <t>coa_0006</t>
  </si>
  <si>
    <t>coa_0007</t>
  </si>
  <si>
    <t>coa_0008</t>
  </si>
  <si>
    <t>coa_0009</t>
  </si>
  <si>
    <t>Measured istm diam</t>
  </si>
  <si>
    <t>Measured da diam</t>
  </si>
  <si>
    <t>Ratio ist</t>
  </si>
  <si>
    <t>Ratio da</t>
  </si>
  <si>
    <t>AoI PI</t>
  </si>
  <si>
    <t>DA PI</t>
  </si>
  <si>
    <t>UA PI</t>
  </si>
  <si>
    <t>MCA PI</t>
  </si>
  <si>
    <t>LV/RV ED_Area depth change</t>
  </si>
  <si>
    <t>RV/LV ED_Area depth change</t>
  </si>
  <si>
    <t>RV/LV ED_Area</t>
  </si>
  <si>
    <t>healthy_0001</t>
  </si>
  <si>
    <t>healthy_0002</t>
  </si>
  <si>
    <t>healthy_0003</t>
  </si>
  <si>
    <t>healthy_0004</t>
  </si>
  <si>
    <t>healthy_0005</t>
  </si>
  <si>
    <t>healthy_0006</t>
  </si>
  <si>
    <t>healthy_0007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</si>
</sst>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0" borderId="0" xfId="0" applyNumberFormat="1"/>
    <xf numFmtId="0" fontId="1" fillId="3" borderId="0" xfId="0" applyFont="1" applyFill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D655F"/>
      <color rgb="FFC58AE5"/>
      <color rgb="FFB772E6"/>
      <color rgb="FFFF6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54E5-5EC8-DD45-92F4-CB319141F7D3}">
  <dimension ref="A1:V14"/>
  <sheetViews>
    <sheetView zoomScale="172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L25" sqref="L25"/>
    </sheetView>
  </sheetViews>
  <sheetFormatPr baseColWidth="10" defaultRowHeight="15" x14ac:dyDescent="0.2"/>
  <sheetData>
    <row r="1" spans="1:22" x14ac:dyDescent="0.2">
      <c r="A1" s="3" t="s">
        <v>11</v>
      </c>
      <c r="B1" s="3" t="s">
        <v>0</v>
      </c>
      <c r="C1" s="3" t="s">
        <v>1</v>
      </c>
      <c r="D1" s="5" t="s">
        <v>2</v>
      </c>
      <c r="E1" s="5" t="s">
        <v>3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4</v>
      </c>
      <c r="K1" s="5" t="s">
        <v>31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2" x14ac:dyDescent="0.2">
      <c r="A2" t="s">
        <v>32</v>
      </c>
      <c r="B2">
        <v>30.57</v>
      </c>
      <c r="C2">
        <v>1358</v>
      </c>
      <c r="D2" s="7">
        <v>4.3899999999999997</v>
      </c>
      <c r="E2" s="7">
        <v>4</v>
      </c>
      <c r="F2" s="6">
        <v>4.3</v>
      </c>
      <c r="G2" s="6">
        <v>4.2</v>
      </c>
      <c r="H2" s="7">
        <v>0.98</v>
      </c>
      <c r="I2" s="7">
        <v>1.05</v>
      </c>
      <c r="J2" s="7">
        <v>0.85</v>
      </c>
      <c r="K2" s="8">
        <v>1.1767068300000001</v>
      </c>
      <c r="L2" s="8">
        <v>1.3640000000000001</v>
      </c>
      <c r="M2" s="8">
        <v>1.415</v>
      </c>
      <c r="N2" s="8">
        <v>0.57599999999999996</v>
      </c>
      <c r="O2" s="8">
        <v>0.112</v>
      </c>
      <c r="P2" s="6">
        <v>3.8159999999999998</v>
      </c>
      <c r="Q2" s="6">
        <v>2.8370000000000002</v>
      </c>
      <c r="R2" s="6">
        <v>0.82799999999999996</v>
      </c>
      <c r="S2" s="6">
        <v>2.0779999999999998</v>
      </c>
      <c r="T2" s="1">
        <f>POWER(2.49,3/2)/POWER(2.93,3/2)</f>
        <v>0.78342529554977092</v>
      </c>
      <c r="U2" s="1">
        <f>1/T2</f>
        <v>1.2764458917531469</v>
      </c>
      <c r="V2" s="4"/>
    </row>
    <row r="3" spans="1:22" x14ac:dyDescent="0.2">
      <c r="A3" t="s">
        <v>33</v>
      </c>
      <c r="B3">
        <v>30.71</v>
      </c>
      <c r="C3">
        <v>1807</v>
      </c>
      <c r="D3" s="7">
        <v>4.41</v>
      </c>
      <c r="E3" s="7">
        <v>4.0199999999999996</v>
      </c>
      <c r="F3" s="6">
        <v>4.3</v>
      </c>
      <c r="G3" s="6">
        <v>4</v>
      </c>
      <c r="H3" s="7">
        <v>0.97</v>
      </c>
      <c r="I3" s="7">
        <v>0.99</v>
      </c>
      <c r="J3" s="7">
        <v>0.9</v>
      </c>
      <c r="K3" s="8">
        <v>1.10747664</v>
      </c>
      <c r="L3" s="8">
        <v>1.37</v>
      </c>
      <c r="M3" s="8">
        <v>1.4219999999999999</v>
      </c>
      <c r="N3" s="8">
        <v>0.54200000000000004</v>
      </c>
      <c r="O3" s="8">
        <v>-0.20100000000000001</v>
      </c>
      <c r="P3" s="6">
        <v>2.9910000000000001</v>
      </c>
      <c r="Q3" s="6">
        <v>2.387</v>
      </c>
      <c r="R3" s="6">
        <v>1.012</v>
      </c>
      <c r="S3" s="6">
        <v>2.2589999999999999</v>
      </c>
      <c r="T3" s="1">
        <f>POWER(2.14,3/2)/POWER(2.37,3/2)</f>
        <v>0.85802144196613073</v>
      </c>
      <c r="U3" s="1">
        <f t="shared" ref="U3:U8" si="0">1/T3</f>
        <v>1.165472039613054</v>
      </c>
      <c r="V3" s="4"/>
    </row>
    <row r="4" spans="1:22" x14ac:dyDescent="0.2">
      <c r="A4" t="s">
        <v>34</v>
      </c>
      <c r="B4">
        <v>30.43</v>
      </c>
      <c r="C4">
        <v>1562</v>
      </c>
      <c r="D4" s="7">
        <v>4.3600000000000003</v>
      </c>
      <c r="E4" s="7">
        <v>3.99</v>
      </c>
      <c r="F4" s="6">
        <v>4</v>
      </c>
      <c r="G4" s="6">
        <v>4.2</v>
      </c>
      <c r="H4" s="7">
        <v>0.92</v>
      </c>
      <c r="I4" s="7">
        <v>1.05</v>
      </c>
      <c r="J4" s="7">
        <v>0.95</v>
      </c>
      <c r="K4" s="8">
        <v>1.0562913899999999</v>
      </c>
      <c r="L4" s="8">
        <v>1.3580000000000001</v>
      </c>
      <c r="M4" s="8">
        <v>1.409</v>
      </c>
      <c r="N4" s="8">
        <v>0.17</v>
      </c>
      <c r="O4" s="8">
        <v>0.14899999999999999</v>
      </c>
      <c r="P4" s="6">
        <v>4.46</v>
      </c>
      <c r="Q4" s="6">
        <v>4.7220000000000004</v>
      </c>
      <c r="R4" s="6">
        <v>0.85299999999999998</v>
      </c>
      <c r="S4" s="6">
        <v>1.4590000000000001</v>
      </c>
      <c r="T4" s="1">
        <f>POWER(3.02,3/2)/POWER(3.19,3/2)</f>
        <v>0.921137344797334</v>
      </c>
      <c r="U4" s="1">
        <f t="shared" si="0"/>
        <v>1.0856144370305789</v>
      </c>
      <c r="V4" s="4"/>
    </row>
    <row r="5" spans="1:22" x14ac:dyDescent="0.2">
      <c r="A5" t="s">
        <v>35</v>
      </c>
      <c r="B5">
        <v>33</v>
      </c>
      <c r="C5">
        <v>2195</v>
      </c>
      <c r="D5" s="7">
        <v>4.8499999999999996</v>
      </c>
      <c r="E5" s="7">
        <v>4.3</v>
      </c>
      <c r="F5" s="6">
        <v>4.2</v>
      </c>
      <c r="G5" s="6">
        <v>4.4000000000000004</v>
      </c>
      <c r="H5" s="7">
        <v>0.87</v>
      </c>
      <c r="I5" s="7">
        <v>1.02</v>
      </c>
      <c r="J5" s="7">
        <v>0.85</v>
      </c>
      <c r="K5" s="8">
        <v>1.1791666700000001</v>
      </c>
      <c r="L5" s="8">
        <v>1.458</v>
      </c>
      <c r="M5" s="8">
        <v>1.522</v>
      </c>
      <c r="N5" s="8">
        <v>-0.13800000000000001</v>
      </c>
      <c r="O5" s="8">
        <v>-0.23</v>
      </c>
      <c r="P5" s="6">
        <v>3.714</v>
      </c>
      <c r="Q5" s="6">
        <v>2.4220000000000002</v>
      </c>
      <c r="R5" s="6">
        <v>1.25</v>
      </c>
      <c r="S5" s="6">
        <v>2.266</v>
      </c>
      <c r="T5" s="1">
        <f>POWER(2.4,3/2)/POWER(2.83,3/2)</f>
        <v>0.78097513936203178</v>
      </c>
      <c r="U5" s="1">
        <f t="shared" si="0"/>
        <v>1.280450490161424</v>
      </c>
      <c r="V5" s="4"/>
    </row>
    <row r="6" spans="1:22" x14ac:dyDescent="0.2">
      <c r="A6" t="s">
        <v>36</v>
      </c>
      <c r="B6">
        <v>32.14</v>
      </c>
      <c r="C6">
        <v>1764</v>
      </c>
      <c r="D6" s="7">
        <v>4.68</v>
      </c>
      <c r="E6" s="7">
        <v>4.2</v>
      </c>
      <c r="F6" s="6">
        <v>4.0999999999999996</v>
      </c>
      <c r="G6" s="6">
        <v>4.4000000000000004</v>
      </c>
      <c r="H6" s="7">
        <v>0.88</v>
      </c>
      <c r="I6" s="7">
        <v>1.05</v>
      </c>
      <c r="J6" s="7">
        <v>0.93</v>
      </c>
      <c r="K6" s="8">
        <v>1.0703517600000001</v>
      </c>
      <c r="L6" s="8">
        <v>1.425</v>
      </c>
      <c r="M6" s="8">
        <v>1.4850000000000001</v>
      </c>
      <c r="N6" s="8">
        <v>-8.7999999999999995E-2</v>
      </c>
      <c r="O6" s="8">
        <v>-2.1000000000000001E-2</v>
      </c>
      <c r="P6" s="6">
        <v>2.7589999999999999</v>
      </c>
      <c r="Q6" s="6">
        <v>1.7949999999999999</v>
      </c>
      <c r="R6" s="6">
        <v>0.83199999999999996</v>
      </c>
      <c r="S6" s="6">
        <v>1.7509999999999999</v>
      </c>
      <c r="T6" s="1">
        <f>POWER(3.98,3/2)/POWER(4.26,3/2)</f>
        <v>0.90304669902872914</v>
      </c>
      <c r="U6" s="1">
        <f t="shared" si="0"/>
        <v>1.1073624443514924</v>
      </c>
      <c r="V6" s="4"/>
    </row>
    <row r="7" spans="1:22" x14ac:dyDescent="0.2">
      <c r="A7" t="s">
        <v>37</v>
      </c>
      <c r="B7">
        <v>37.43</v>
      </c>
      <c r="C7">
        <v>2902</v>
      </c>
      <c r="D7" s="7">
        <v>5.68</v>
      </c>
      <c r="E7" s="7">
        <v>4.84</v>
      </c>
      <c r="F7" s="6">
        <v>4.3</v>
      </c>
      <c r="G7" s="6">
        <v>5.0999999999999996</v>
      </c>
      <c r="H7" s="7">
        <v>0.76</v>
      </c>
      <c r="I7" s="7">
        <v>1.05</v>
      </c>
      <c r="J7" s="7">
        <v>0.9</v>
      </c>
      <c r="K7" s="8">
        <v>1.1059431500000001</v>
      </c>
      <c r="L7" s="8">
        <v>1.6120000000000001</v>
      </c>
      <c r="M7" s="8">
        <v>1.698</v>
      </c>
      <c r="N7" s="8">
        <v>-0.93500000000000005</v>
      </c>
      <c r="O7" s="8">
        <v>-0.39100000000000001</v>
      </c>
      <c r="P7" s="6">
        <v>4.9649999999999999</v>
      </c>
      <c r="Q7" s="6">
        <v>3.0790000000000002</v>
      </c>
      <c r="R7" s="6">
        <v>1.012</v>
      </c>
      <c r="S7" s="6">
        <v>1.9510000000000001</v>
      </c>
      <c r="T7" s="1">
        <f>POWER(3.87,3/2)/POWER(4.28,3/2)</f>
        <v>0.85980663862047302</v>
      </c>
      <c r="U7" s="1">
        <f t="shared" si="0"/>
        <v>1.1630521969503071</v>
      </c>
      <c r="V7" s="4"/>
    </row>
    <row r="8" spans="1:22" x14ac:dyDescent="0.2">
      <c r="A8" t="s">
        <v>38</v>
      </c>
      <c r="B8">
        <v>28.29</v>
      </c>
      <c r="C8">
        <v>1242</v>
      </c>
      <c r="D8" s="7">
        <v>3.96</v>
      </c>
      <c r="E8" s="7">
        <v>3.72</v>
      </c>
      <c r="F8" s="6">
        <v>4</v>
      </c>
      <c r="G8" s="6">
        <v>3.7</v>
      </c>
      <c r="H8" s="7">
        <v>1.01</v>
      </c>
      <c r="I8" s="7">
        <v>1</v>
      </c>
      <c r="J8" s="7">
        <v>0.91</v>
      </c>
      <c r="K8" s="8">
        <v>1.09375</v>
      </c>
      <c r="L8" s="8">
        <v>1.2689999999999999</v>
      </c>
      <c r="M8" s="8">
        <v>1.3069999999999999</v>
      </c>
      <c r="N8" s="8">
        <v>0.71399999999999997</v>
      </c>
      <c r="O8" s="8">
        <v>7.0000000000000001E-3</v>
      </c>
      <c r="P8" s="6">
        <v>2.7189999999999999</v>
      </c>
      <c r="Q8" s="6">
        <v>2.4529999999999998</v>
      </c>
      <c r="R8" s="6">
        <v>0.97</v>
      </c>
      <c r="S8" s="6">
        <v>1.532</v>
      </c>
      <c r="T8" s="1">
        <f>POWER(1.92,3/2)/POWER(2.1,3/2)</f>
        <v>0.87422435425601375</v>
      </c>
      <c r="U8" s="1">
        <f t="shared" si="0"/>
        <v>1.1438711300270563</v>
      </c>
      <c r="V8" s="4"/>
    </row>
    <row r="9" spans="1:22" x14ac:dyDescent="0.2">
      <c r="D9" s="6"/>
      <c r="E9" s="6"/>
      <c r="F9" s="6"/>
      <c r="G9" s="6"/>
      <c r="H9" s="6"/>
      <c r="I9" s="6"/>
      <c r="J9" s="6"/>
      <c r="K9" s="6"/>
      <c r="L9" s="8"/>
      <c r="M9" s="8"/>
      <c r="N9" s="6"/>
      <c r="O9" s="6"/>
      <c r="P9" s="6"/>
      <c r="Q9" s="6"/>
      <c r="R9" s="6"/>
      <c r="S9" s="6"/>
    </row>
    <row r="10" spans="1:22" x14ac:dyDescent="0.2">
      <c r="A10" t="s">
        <v>5</v>
      </c>
      <c r="B10" s="1">
        <f>AVERAGE(B2:B5,B6,B7,B8)</f>
        <v>31.79571428571429</v>
      </c>
      <c r="C10" s="1">
        <f>AVERAGE(C2:C5,C6,C7,C8)</f>
        <v>1832.8571428571429</v>
      </c>
      <c r="D10" s="7"/>
      <c r="E10" s="7"/>
      <c r="F10" s="7">
        <v>4.17</v>
      </c>
      <c r="G10" s="7">
        <v>4.29</v>
      </c>
      <c r="H10" s="7"/>
      <c r="I10" s="7"/>
      <c r="J10" s="7">
        <v>0.9</v>
      </c>
      <c r="K10" s="7">
        <v>1.1100000000000001</v>
      </c>
      <c r="L10" s="8"/>
      <c r="M10" s="8"/>
      <c r="N10" s="7">
        <v>0.12</v>
      </c>
      <c r="O10" s="7">
        <v>-0.08</v>
      </c>
      <c r="P10" s="7">
        <v>3.63</v>
      </c>
      <c r="Q10" s="7">
        <v>2.81</v>
      </c>
      <c r="R10" s="7">
        <v>0.97</v>
      </c>
      <c r="S10" s="7">
        <v>1.9</v>
      </c>
      <c r="T10" s="1">
        <f>AVERAGE(T2:T8)</f>
        <v>0.85437670194006898</v>
      </c>
      <c r="U10" s="1">
        <f>AVERAGE(U2:U8)</f>
        <v>1.1746098042695798</v>
      </c>
      <c r="V10" s="4"/>
    </row>
    <row r="11" spans="1:22" x14ac:dyDescent="0.2">
      <c r="A11" t="s">
        <v>6</v>
      </c>
      <c r="B11" s="1">
        <f>STDEV(B2:B5,B6,B7,B8)</f>
        <v>2.891088936386295</v>
      </c>
      <c r="C11" s="1">
        <f>STDEV(C2:C5,C6,C7,C8)</f>
        <v>566.80226668901889</v>
      </c>
      <c r="D11" s="7"/>
      <c r="E11" s="7"/>
      <c r="F11" s="7">
        <v>0.14000000000000001</v>
      </c>
      <c r="G11" s="7">
        <v>0.43</v>
      </c>
      <c r="H11" s="7"/>
      <c r="I11" s="7"/>
      <c r="J11" s="7">
        <v>0.04</v>
      </c>
      <c r="K11" s="7">
        <v>0.05</v>
      </c>
      <c r="L11" s="8"/>
      <c r="M11" s="8"/>
      <c r="N11" s="7">
        <v>0.56999999999999995</v>
      </c>
      <c r="O11" s="7">
        <v>0.2</v>
      </c>
      <c r="P11" s="7">
        <v>0.87</v>
      </c>
      <c r="Q11" s="7">
        <v>0.93</v>
      </c>
      <c r="R11" s="7">
        <v>0.15</v>
      </c>
      <c r="S11" s="7">
        <v>0.33</v>
      </c>
      <c r="T11" s="1">
        <f>STDEV(T2:T8)</f>
        <v>5.4289871912493369E-2</v>
      </c>
      <c r="U11" s="1">
        <f>STDEV(U2:U8)</f>
        <v>7.6569320916873213E-2</v>
      </c>
      <c r="V11" s="4"/>
    </row>
    <row r="12" spans="1:22" x14ac:dyDescent="0.2">
      <c r="Q12" s="4"/>
      <c r="R12" s="4"/>
    </row>
    <row r="13" spans="1:22" x14ac:dyDescent="0.2">
      <c r="P13" s="4"/>
      <c r="Q13" s="4"/>
    </row>
    <row r="14" spans="1:22" x14ac:dyDescent="0.2">
      <c r="L14" s="4"/>
      <c r="M14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B56-BCFF-354A-9EBF-A3C338873D47}">
  <dimension ref="A1:U15"/>
  <sheetViews>
    <sheetView tabSelected="1" zoomScale="150" workbookViewId="0">
      <pane xSplit="1" topLeftCell="B1" activePane="topRight" state="frozen"/>
      <selection pane="topRight" activeCell="G17" sqref="G17"/>
    </sheetView>
  </sheetViews>
  <sheetFormatPr baseColWidth="10" defaultRowHeight="15" x14ac:dyDescent="0.2"/>
  <cols>
    <col min="7" max="7" width="12.1640625" bestFit="1" customWidth="1"/>
  </cols>
  <sheetData>
    <row r="1" spans="1:21" x14ac:dyDescent="0.2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4</v>
      </c>
      <c r="K1" s="3" t="s">
        <v>31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 x14ac:dyDescent="0.2">
      <c r="A2" t="s">
        <v>12</v>
      </c>
      <c r="B2" s="1">
        <v>36.571428571428569</v>
      </c>
      <c r="C2" s="2">
        <v>2913</v>
      </c>
      <c r="D2">
        <f>-1.39 + 0.189*B2</f>
        <v>5.5220000000000002</v>
      </c>
      <c r="E2" s="4">
        <f>(-0.1655 + 0.121125*B2)/(0.0028*B2 + 0.798)</f>
        <v>4.7359110236720188</v>
      </c>
      <c r="F2">
        <v>3.4</v>
      </c>
      <c r="G2">
        <v>5.4</v>
      </c>
      <c r="H2" s="1">
        <f t="shared" ref="H2:I10" si="0">F2/D2</f>
        <v>0.61571894241216951</v>
      </c>
      <c r="I2" s="1">
        <f t="shared" si="0"/>
        <v>1.140224124357192</v>
      </c>
      <c r="J2" s="1">
        <f>2.8/4.35</f>
        <v>0.64367816091954022</v>
      </c>
      <c r="K2" s="4">
        <f>1/J2</f>
        <v>1.5535714285714286</v>
      </c>
      <c r="L2" s="4">
        <f>1.224*LN(B2)-2.822</f>
        <v>1.5835031695992807</v>
      </c>
      <c r="M2" s="4">
        <f>1.396*LN(B2)-3.359</f>
        <v>1.6655771444122518</v>
      </c>
      <c r="N2" s="4">
        <f t="shared" ref="N2:N10" si="1">(LN(F2)-L2)/0.164</f>
        <v>-2.1934618169339331</v>
      </c>
      <c r="O2" s="4">
        <f t="shared" ref="O2:O10" si="2">(LN(G2)-M2)/0.176</f>
        <v>0.11830573385214231</v>
      </c>
      <c r="P2">
        <v>4.6420000000000003</v>
      </c>
      <c r="Q2">
        <v>3.2309999999999999</v>
      </c>
      <c r="T2" s="1">
        <f>POWER(2.8,3/2)/POWER(4.35,3/2)</f>
        <v>0.51642012869887588</v>
      </c>
      <c r="U2" s="1">
        <f>1/T2</f>
        <v>1.9364078672136715</v>
      </c>
    </row>
    <row r="3" spans="1:21" x14ac:dyDescent="0.2">
      <c r="A3" t="s">
        <v>13</v>
      </c>
      <c r="B3" s="1">
        <v>30.571428571428573</v>
      </c>
      <c r="C3" s="2">
        <v>1503</v>
      </c>
      <c r="D3">
        <f>-1.39 + 0.189*B3</f>
        <v>4.3880000000000008</v>
      </c>
      <c r="E3" s="4">
        <f>(-0.1655 + 0.121125*B3)/(0.0028*B3 + 0.798)</f>
        <v>4.003467955765375</v>
      </c>
      <c r="F3">
        <v>2.6</v>
      </c>
      <c r="G3">
        <v>4.5</v>
      </c>
      <c r="H3" s="1">
        <f t="shared" si="0"/>
        <v>0.59252506836827701</v>
      </c>
      <c r="I3" s="1">
        <f t="shared" si="0"/>
        <v>1.1240254823370253</v>
      </c>
      <c r="J3" s="1">
        <f xml:space="preserve"> 2.63/3.84</f>
        <v>0.68489583333333337</v>
      </c>
      <c r="K3" s="4">
        <f t="shared" ref="K3:K10" si="3">1/J3</f>
        <v>1.4600760456273763</v>
      </c>
      <c r="L3" s="4">
        <f>1.224*LN(B3)-2.822</f>
        <v>1.3641606199430427</v>
      </c>
      <c r="M3" s="4">
        <f>1.396*LN(B3)-3.359</f>
        <v>1.4154119488892869</v>
      </c>
      <c r="N3" s="4">
        <f t="shared" si="1"/>
        <v>-2.4917632616805268</v>
      </c>
      <c r="O3" s="4">
        <f t="shared" si="2"/>
        <v>0.50378095390333677</v>
      </c>
      <c r="P3">
        <v>3.1190000000000002</v>
      </c>
      <c r="Q3">
        <v>2.5609999999999999</v>
      </c>
      <c r="R3">
        <v>1.8640000000000001</v>
      </c>
      <c r="S3">
        <v>1.3959999999999999</v>
      </c>
      <c r="T3" s="1">
        <f>POWER(2.63,3/2)/POWER(3.84,3/2)</f>
        <v>0.56680906351658378</v>
      </c>
      <c r="U3" s="1">
        <f t="shared" ref="U3:U10" si="4">1/T3</f>
        <v>1.7642625433612917</v>
      </c>
    </row>
    <row r="4" spans="1:21" x14ac:dyDescent="0.2">
      <c r="A4" t="s">
        <v>14</v>
      </c>
      <c r="B4" s="1">
        <v>28</v>
      </c>
      <c r="C4" s="2">
        <v>1224</v>
      </c>
      <c r="D4">
        <f>-1.39 + 0.189*B4</f>
        <v>3.9020000000000001</v>
      </c>
      <c r="E4" s="4">
        <f>(-0.1655 + 0.121125*B4)/(0.0028*B4 + 0.798)</f>
        <v>3.6809675947056131</v>
      </c>
      <c r="F4">
        <v>3.1</v>
      </c>
      <c r="G4">
        <v>3.9</v>
      </c>
      <c r="H4" s="1">
        <f t="shared" si="0"/>
        <v>0.79446437724243979</v>
      </c>
      <c r="I4" s="1">
        <f t="shared" si="0"/>
        <v>1.0595040297582148</v>
      </c>
      <c r="J4" s="1">
        <f xml:space="preserve"> 1.79/2.84</f>
        <v>0.63028169014084512</v>
      </c>
      <c r="K4" s="4">
        <f t="shared" si="3"/>
        <v>1.5865921787709496</v>
      </c>
      <c r="L4" s="4">
        <f>1.224*LN(B4)-2.822</f>
        <v>1.2566183204544492</v>
      </c>
      <c r="M4" s="4">
        <f>1.396*LN(B4)-3.359</f>
        <v>1.292757496204584</v>
      </c>
      <c r="N4" s="4">
        <f t="shared" si="1"/>
        <v>-0.76351346928871111</v>
      </c>
      <c r="O4" s="4">
        <f t="shared" si="2"/>
        <v>0.38760827801713976</v>
      </c>
      <c r="P4">
        <v>3.3540000000000001</v>
      </c>
      <c r="Q4">
        <v>2.48</v>
      </c>
      <c r="S4">
        <v>2.8260000000000001</v>
      </c>
      <c r="T4" s="1">
        <f xml:space="preserve"> POWER(1.79,3/2)/POWER(2.84,3/2)</f>
        <v>0.50038241220420621</v>
      </c>
      <c r="U4" s="1">
        <f t="shared" si="4"/>
        <v>1.9984715202018326</v>
      </c>
    </row>
    <row r="5" spans="1:21" x14ac:dyDescent="0.2">
      <c r="A5" t="s">
        <v>15</v>
      </c>
      <c r="B5" s="1">
        <v>36.714285714285715</v>
      </c>
      <c r="C5" s="2">
        <v>2891</v>
      </c>
      <c r="D5">
        <f>-1.39 + 0.189*B5</f>
        <v>5.5490000000000004</v>
      </c>
      <c r="E5" s="4">
        <f>(-0.1655 + 0.121125*B5)/(0.0028*B5 + 0.798)</f>
        <v>4.753017159350418</v>
      </c>
      <c r="F5">
        <v>4.7</v>
      </c>
      <c r="G5">
        <v>5</v>
      </c>
      <c r="H5" s="1">
        <f t="shared" si="0"/>
        <v>0.84699945936204724</v>
      </c>
      <c r="I5" s="1">
        <f t="shared" si="0"/>
        <v>1.051963380810377</v>
      </c>
      <c r="J5" s="1">
        <f xml:space="preserve"> 3.54/4.78</f>
        <v>0.7405857740585774</v>
      </c>
      <c r="K5" s="4">
        <f t="shared" si="3"/>
        <v>1.3502824858757063</v>
      </c>
      <c r="L5" s="4">
        <f>1.224*LN(B5)-2.822</f>
        <v>1.5882751054680453</v>
      </c>
      <c r="M5" s="4">
        <f>1.396*LN(B5)-3.359</f>
        <v>1.6710196464325096</v>
      </c>
      <c r="N5" s="4">
        <f t="shared" si="1"/>
        <v>-0.24824754117092873</v>
      </c>
      <c r="O5" s="4">
        <f t="shared" si="2"/>
        <v>-0.34989621590005271</v>
      </c>
      <c r="T5" s="1">
        <f xml:space="preserve"> POWER(3.54,3/2)/POWER(4.78,3/2)</f>
        <v>0.63732807216989762</v>
      </c>
      <c r="U5" s="1">
        <f t="shared" si="4"/>
        <v>1.5690506093593537</v>
      </c>
    </row>
    <row r="6" spans="1:21" x14ac:dyDescent="0.2">
      <c r="A6" t="s">
        <v>16</v>
      </c>
      <c r="B6" s="1">
        <v>27.285714285714285</v>
      </c>
      <c r="C6" s="2">
        <v>953</v>
      </c>
      <c r="D6">
        <f>-1.39 + 0.189*B6</f>
        <v>3.7670000000000003</v>
      </c>
      <c r="E6" s="4">
        <f>(-0.1655 + 0.121125*B6)/(0.0028*B6 + 0.798)</f>
        <v>3.5904416089400066</v>
      </c>
      <c r="F6">
        <v>2.4</v>
      </c>
      <c r="G6">
        <v>3.8</v>
      </c>
      <c r="H6" s="1">
        <f t="shared" si="0"/>
        <v>0.63711176002123693</v>
      </c>
      <c r="I6" s="1">
        <f t="shared" si="0"/>
        <v>1.058365631274494</v>
      </c>
      <c r="J6" s="1">
        <f>1.43/2.15</f>
        <v>0.66511627906976745</v>
      </c>
      <c r="K6" s="4">
        <f t="shared" si="3"/>
        <v>1.5034965034965035</v>
      </c>
      <c r="L6" s="4">
        <f>1.224*LN(B6)-2.822</f>
        <v>1.2249886534853713</v>
      </c>
      <c r="M6" s="4">
        <f>1.396*LN(B6)-3.359</f>
        <v>1.2566831374718772</v>
      </c>
      <c r="N6" s="4">
        <f t="shared" si="1"/>
        <v>-2.1312190008016554</v>
      </c>
      <c r="O6" s="4">
        <f t="shared" si="2"/>
        <v>0.44498823443444757</v>
      </c>
      <c r="R6">
        <v>0.98099999999999998</v>
      </c>
      <c r="S6">
        <v>1.897</v>
      </c>
      <c r="T6" s="1">
        <f xml:space="preserve"> POWER(1.43,3/2)/POWER(2.15,3/2)</f>
        <v>0.54243332909261388</v>
      </c>
      <c r="U6" s="1">
        <f t="shared" si="4"/>
        <v>1.843544536012945</v>
      </c>
    </row>
    <row r="7" spans="1:21" x14ac:dyDescent="0.2">
      <c r="A7" t="s">
        <v>17</v>
      </c>
      <c r="B7" s="1">
        <v>32.571428571428569</v>
      </c>
      <c r="C7" s="2">
        <v>2133</v>
      </c>
      <c r="D7">
        <f>-1.39 + 0.189*B7</f>
        <v>4.766</v>
      </c>
      <c r="E7" s="4">
        <f>(-0.1655 + 0.121125*B7)/(0.0028*B7 + 0.798)</f>
        <v>4.2506908296381978</v>
      </c>
      <c r="F7">
        <v>3.5</v>
      </c>
      <c r="G7">
        <v>4.4000000000000004</v>
      </c>
      <c r="H7" s="1">
        <f t="shared" si="0"/>
        <v>0.7343684431389006</v>
      </c>
      <c r="I7" s="1">
        <f t="shared" si="0"/>
        <v>1.0351258598533526</v>
      </c>
      <c r="J7" s="1">
        <f>2.02/3.31</f>
        <v>0.61027190332326287</v>
      </c>
      <c r="K7" s="4">
        <f t="shared" si="3"/>
        <v>1.6386138613861385</v>
      </c>
      <c r="L7" s="4">
        <f>1.224*LN(B7)-2.822</f>
        <v>1.4417250273965321</v>
      </c>
      <c r="M7" s="4">
        <f>1.396*LN(B7)-3.359</f>
        <v>1.5038759299391815</v>
      </c>
      <c r="N7" s="4">
        <f t="shared" si="1"/>
        <v>-1.1522076762266098</v>
      </c>
      <c r="O7" s="4">
        <f t="shared" si="2"/>
        <v>-0.12654198303957925</v>
      </c>
      <c r="T7" s="1">
        <f xml:space="preserve"> POWER(2.02,3/2)/POWER(3.31,3/2)</f>
        <v>0.47674381065133298</v>
      </c>
      <c r="U7" s="1">
        <f t="shared" si="4"/>
        <v>2.0975626272605159</v>
      </c>
    </row>
    <row r="8" spans="1:21" x14ac:dyDescent="0.2">
      <c r="A8" t="s">
        <v>18</v>
      </c>
      <c r="B8" s="1">
        <v>39</v>
      </c>
      <c r="C8" s="2">
        <v>3047</v>
      </c>
      <c r="D8">
        <f>-1.39 + 0.189*B8</f>
        <v>5.9810000000000008</v>
      </c>
      <c r="E8" s="4">
        <f>(-0.1655 + 0.121125*B8)/(0.0028*B8 + 0.798)</f>
        <v>5.0246638007054676</v>
      </c>
      <c r="F8">
        <v>2.2999999999999998</v>
      </c>
      <c r="G8">
        <v>5.6</v>
      </c>
      <c r="H8" s="1">
        <f t="shared" si="0"/>
        <v>0.38455107841498071</v>
      </c>
      <c r="I8" s="1">
        <f t="shared" si="0"/>
        <v>1.1145024268516739</v>
      </c>
      <c r="J8" s="1">
        <f>1.94/4.44</f>
        <v>0.43693693693693686</v>
      </c>
      <c r="K8" s="4">
        <f t="shared" si="3"/>
        <v>2.2886597938144333</v>
      </c>
      <c r="L8" s="4">
        <f>1.224*LN(B8)-2.822</f>
        <v>1.6621994548626873</v>
      </c>
      <c r="M8" s="4">
        <f>1.396*LN(B8)-3.359</f>
        <v>1.755332057996986</v>
      </c>
      <c r="N8" s="4">
        <f t="shared" si="1"/>
        <v>-5.0566483654120935</v>
      </c>
      <c r="O8" s="4">
        <f t="shared" si="2"/>
        <v>-0.18503102418115042</v>
      </c>
      <c r="P8">
        <v>4.21</v>
      </c>
      <c r="Q8">
        <v>3.0350000000000001</v>
      </c>
      <c r="R8">
        <v>0.85299999999999998</v>
      </c>
      <c r="S8">
        <v>1.4510000000000001</v>
      </c>
      <c r="T8" s="1">
        <f xml:space="preserve"> POWER(1.94,3/2)/POWER(4.44,3/2)</f>
        <v>0.28882058261706389</v>
      </c>
      <c r="U8" s="1">
        <f t="shared" si="4"/>
        <v>3.4623571178300043</v>
      </c>
    </row>
    <row r="9" spans="1:21" x14ac:dyDescent="0.2">
      <c r="A9" t="s">
        <v>19</v>
      </c>
      <c r="B9" s="1">
        <v>30</v>
      </c>
      <c r="C9" s="2">
        <v>1608</v>
      </c>
      <c r="D9">
        <f>-1.39 + 0.189*B9</f>
        <v>4.28</v>
      </c>
      <c r="E9" s="4">
        <f>(-0.1655 + 0.121125*B9)/(0.0028*B9 + 0.798)</f>
        <v>3.9322562358276643</v>
      </c>
      <c r="F9">
        <v>3</v>
      </c>
      <c r="G9">
        <v>4.2</v>
      </c>
      <c r="H9" s="1">
        <f t="shared" si="0"/>
        <v>0.7009345794392523</v>
      </c>
      <c r="I9" s="1">
        <f t="shared" si="0"/>
        <v>1.0680890939234484</v>
      </c>
      <c r="J9" s="1">
        <f>1.96/2.32</f>
        <v>0.84482758620689657</v>
      </c>
      <c r="K9" s="4">
        <f t="shared" si="3"/>
        <v>1.1836734693877551</v>
      </c>
      <c r="L9" s="4">
        <f>1.224*LN(B9)-2.822</f>
        <v>1.3410655951544781</v>
      </c>
      <c r="M9" s="4">
        <f>1.396*LN(B9)-3.359</f>
        <v>1.3890715448003688</v>
      </c>
      <c r="N9" s="4">
        <f t="shared" si="1"/>
        <v>-1.4783738200388312</v>
      </c>
      <c r="O9" s="4">
        <f t="shared" si="2"/>
        <v>0.26143738914178394</v>
      </c>
      <c r="P9">
        <v>4.1260000000000003</v>
      </c>
      <c r="Q9">
        <v>2.8679999999999999</v>
      </c>
      <c r="R9">
        <v>1.0720000000000001</v>
      </c>
      <c r="S9">
        <v>1.9550000000000001</v>
      </c>
      <c r="T9" s="1">
        <f xml:space="preserve"> POWER(1.96,3/2)/POWER(2.32,3/2)</f>
        <v>0.7765190770842213</v>
      </c>
      <c r="U9" s="1">
        <f t="shared" si="4"/>
        <v>1.287798367755413</v>
      </c>
    </row>
    <row r="10" spans="1:21" x14ac:dyDescent="0.2">
      <c r="A10" t="s">
        <v>20</v>
      </c>
      <c r="B10" s="1">
        <v>28.142857142857142</v>
      </c>
      <c r="C10" s="2">
        <v>1248</v>
      </c>
      <c r="D10">
        <f>-1.39 + 0.189*B10</f>
        <v>3.9290000000000003</v>
      </c>
      <c r="E10" s="4">
        <f>(-0.1655 + 0.121125*B10)/(0.0028*B10 + 0.798)</f>
        <v>3.6990232338373303</v>
      </c>
      <c r="F10">
        <v>2</v>
      </c>
      <c r="G10">
        <v>4.0999999999999996</v>
      </c>
      <c r="H10" s="1">
        <f t="shared" si="0"/>
        <v>0.50903537795876808</v>
      </c>
      <c r="I10" s="1">
        <f t="shared" si="0"/>
        <v>1.1084007157604956</v>
      </c>
      <c r="J10" s="1">
        <f>0.95/2.01</f>
        <v>0.47263681592039802</v>
      </c>
      <c r="K10" s="4">
        <f t="shared" si="3"/>
        <v>2.1157894736842104</v>
      </c>
      <c r="L10" s="4">
        <f>1.224*LN(B10)-2.822</f>
        <v>1.2628473415315939</v>
      </c>
      <c r="M10" s="4">
        <f>1.396*LN(B10)-3.359</f>
        <v>1.2998618372370139</v>
      </c>
      <c r="N10" s="4">
        <f t="shared" si="1"/>
        <v>-3.473781469339321</v>
      </c>
      <c r="O10" s="4">
        <f t="shared" si="2"/>
        <v>0.63139282087072834</v>
      </c>
      <c r="P10">
        <v>3.6280000000000001</v>
      </c>
      <c r="Q10">
        <v>2.8460000000000001</v>
      </c>
      <c r="T10" s="1">
        <f xml:space="preserve"> POWER(0.95,3/2)/POWER(2.01,3/2)</f>
        <v>0.3249311306864211</v>
      </c>
      <c r="U10" s="1">
        <f t="shared" si="4"/>
        <v>3.0775752322884156</v>
      </c>
    </row>
    <row r="11" spans="1:21" x14ac:dyDescent="0.2">
      <c r="N11" s="4"/>
      <c r="O11" s="4"/>
    </row>
    <row r="12" spans="1:21" x14ac:dyDescent="0.2">
      <c r="A12" t="s">
        <v>5</v>
      </c>
      <c r="B12" s="1">
        <f>AVERAGE(B10,B9,B8,B7,B6,B5,B4,B3,B2)</f>
        <v>32.095238095238102</v>
      </c>
      <c r="C12" s="1">
        <f>AVERAGE(C10,C9,C8,C7,C6,C5,C4,C3,C2)</f>
        <v>1946.6666666666667</v>
      </c>
      <c r="D12" s="1">
        <f t="shared" ref="D12:K12" si="5">AVERAGE(D10,D9,D8,D7,D6,D5,D4,D3,D2)</f>
        <v>4.6759999999999993</v>
      </c>
      <c r="E12" s="1">
        <f t="shared" si="5"/>
        <v>4.1856043824935654</v>
      </c>
      <c r="F12" s="1">
        <f t="shared" si="5"/>
        <v>3.0000000000000004</v>
      </c>
      <c r="G12" s="1">
        <f t="shared" si="5"/>
        <v>4.5444444444444443</v>
      </c>
      <c r="H12" s="1">
        <f t="shared" si="5"/>
        <v>0.64618989848423036</v>
      </c>
      <c r="I12" s="1">
        <f t="shared" si="5"/>
        <v>1.0844667494362525</v>
      </c>
      <c r="J12" s="1">
        <f t="shared" si="5"/>
        <v>0.63658121998995087</v>
      </c>
      <c r="K12" s="1">
        <f t="shared" si="5"/>
        <v>1.6311950267349447</v>
      </c>
      <c r="N12" s="1">
        <f>AVERAGE(N2:N10)</f>
        <v>-2.1099129356547346</v>
      </c>
      <c r="O12" s="1">
        <f>AVERAGE(O2:O10)</f>
        <v>0.18733824301097737</v>
      </c>
      <c r="P12" s="1">
        <f t="shared" ref="P12:S12" si="6">AVERAGE(P2:P10)</f>
        <v>3.8465000000000007</v>
      </c>
      <c r="Q12" s="1">
        <f t="shared" si="6"/>
        <v>2.8368333333333333</v>
      </c>
      <c r="R12" s="1">
        <f t="shared" si="6"/>
        <v>1.1925000000000001</v>
      </c>
      <c r="S12" s="1">
        <f t="shared" si="6"/>
        <v>1.905</v>
      </c>
      <c r="T12" s="1">
        <f>AVERAGE(T2:T10)</f>
        <v>0.51448751185791297</v>
      </c>
      <c r="U12" s="1">
        <f>AVERAGE(U2:U10)</f>
        <v>2.1152256023648266</v>
      </c>
    </row>
    <row r="13" spans="1:21" x14ac:dyDescent="0.2">
      <c r="A13" t="s">
        <v>6</v>
      </c>
      <c r="B13" s="1">
        <f>STDEV(B10,B9,B8,B7,B6,B5,B4,B3,B2)</f>
        <v>4.3518703462079493</v>
      </c>
      <c r="C13" s="1">
        <f>STDEV(C10,C9,C8,C7,C6,C5,C4,C3,C2)</f>
        <v>820.08459929448748</v>
      </c>
      <c r="D13" s="1">
        <f t="shared" ref="D13:K13" si="7">STDEV(D10,D9,D8,D7,D6,D5,D4,D3,D2)</f>
        <v>0.8225034954333057</v>
      </c>
      <c r="E13" s="1">
        <f t="shared" si="7"/>
        <v>0.5333911324907904</v>
      </c>
      <c r="F13" s="1">
        <f t="shared" si="7"/>
        <v>0.8154753215150029</v>
      </c>
      <c r="G13" s="1">
        <f t="shared" si="7"/>
        <v>0.64828834462589013</v>
      </c>
      <c r="H13" s="1">
        <f t="shared" si="7"/>
        <v>0.14328262152225268</v>
      </c>
      <c r="I13" s="1">
        <f t="shared" si="7"/>
        <v>3.7437248444193376E-2</v>
      </c>
      <c r="J13" s="1">
        <f t="shared" si="7"/>
        <v>0.12492492042253006</v>
      </c>
      <c r="K13" s="1">
        <f t="shared" si="7"/>
        <v>0.35354235823764896</v>
      </c>
      <c r="N13" s="1">
        <f>STDEV(N2:N10)</f>
        <v>1.4701726806808169</v>
      </c>
      <c r="O13" s="1">
        <f>STDEV(O2:O10)</f>
        <v>0.34275880084821458</v>
      </c>
      <c r="P13" s="1">
        <f t="shared" ref="P13:S13" si="8">STDEV(P2:P10)</f>
        <v>0.5766502406138353</v>
      </c>
      <c r="Q13" s="1">
        <f t="shared" si="8"/>
        <v>0.28252675389539073</v>
      </c>
      <c r="R13" s="1">
        <f t="shared" si="8"/>
        <v>0.45659062627259406</v>
      </c>
      <c r="S13" s="1">
        <f t="shared" si="8"/>
        <v>0.57358565184286148</v>
      </c>
      <c r="T13" s="1">
        <f>STDEV(T2:T10)</f>
        <v>0.14821998782312124</v>
      </c>
      <c r="U13" s="1">
        <f>STDEV(U2:U10)</f>
        <v>0.70415978576656846</v>
      </c>
    </row>
    <row r="14" spans="1:21" x14ac:dyDescent="0.2">
      <c r="P14" s="2"/>
    </row>
    <row r="15" spans="1:21" x14ac:dyDescent="0.2">
      <c r="P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Healthy</vt:lpstr>
      <vt:lpstr>CoA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Maria Inmaculada Villanueva Baxarias</cp:lastModifiedBy>
  <dcterms:created xsi:type="dcterms:W3CDTF">2011-08-01T14:22:18Z</dcterms:created>
  <dcterms:modified xsi:type="dcterms:W3CDTF">2025-03-11T13:20:21Z</dcterms:modified>
</cp:coreProperties>
</file>